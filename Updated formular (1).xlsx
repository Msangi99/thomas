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/>
  <mc:AlternateContent xmlns:mc="http://schemas.openxmlformats.org/markup-compatibility/2006">
    <mc:Choice Requires="x15">
      <x15ac:absPath xmlns:x15ac="http://schemas.microsoft.com/office/spreadsheetml/2010/11/ac" url="/Users/abdulbunju/Downloads/"/>
    </mc:Choice>
  </mc:AlternateContent>
  <xr:revisionPtr revIDLastSave="0" documentId="8_{4CA972E3-AE17-254E-A713-8477EE48756D}" xr6:coauthVersionLast="47" xr6:coauthVersionMax="47" xr10:uidLastSave="{00000000-0000-0000-0000-000000000000}"/>
  <bookViews>
    <workbookView xWindow="4180" yWindow="600" windowWidth="29420" windowHeight="20400" xr2:uid="{00000000-000D-0000-FFFF-FFFF00000000}"/>
  </bookViews>
  <sheets>
    <sheet name="Sheet1" sheetId="1" r:id="rId1"/>
  </sheets>
  <definedNames>
    <definedName name="_xlnm._FilterDatabase" localSheetId="0" hidden="1">Sheet1!$A$1:$B$24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F17" i="1" s="1"/>
  <c r="F71" i="1"/>
  <c r="F67" i="1"/>
  <c r="B67" i="1"/>
  <c r="F31" i="1"/>
  <c r="F30" i="1"/>
  <c r="B56" i="1" s="1"/>
  <c r="B22" i="1"/>
  <c r="F19" i="1"/>
  <c r="F16" i="1"/>
  <c r="B13" i="1"/>
  <c r="B72" i="1" s="1"/>
  <c r="B10" i="1"/>
  <c r="B15" i="1" l="1"/>
  <c r="B16" i="1"/>
  <c r="F18" i="1"/>
  <c r="F56" i="1" s="1"/>
  <c r="F26" i="1"/>
  <c r="F60" i="1"/>
  <c r="B21" i="1"/>
  <c r="B32" i="1"/>
  <c r="B33" i="1"/>
  <c r="B20" i="1" l="1"/>
  <c r="B18" i="1"/>
  <c r="F42" i="1"/>
  <c r="B23" i="1"/>
  <c r="B24" i="1" s="1"/>
  <c r="B52" i="1"/>
  <c r="B42" i="1"/>
  <c r="B63" i="1"/>
  <c r="B28" i="1"/>
  <c r="F63" i="1"/>
  <c r="F52" i="1"/>
  <c r="B62" i="1"/>
  <c r="B51" i="1"/>
  <c r="F41" i="1"/>
  <c r="B27" i="1"/>
  <c r="B17" i="1"/>
  <c r="B19" i="1" s="1"/>
  <c r="F62" i="1"/>
  <c r="F51" i="1"/>
  <c r="B41" i="1"/>
  <c r="B35" i="1"/>
  <c r="B14" i="1"/>
  <c r="B38" i="1" s="1"/>
  <c r="F66" i="1" l="1"/>
  <c r="B29" i="1"/>
  <c r="F55" i="1"/>
  <c r="F45" i="1"/>
  <c r="F43" i="1"/>
  <c r="B43" i="1"/>
  <c r="B64" i="1"/>
  <c r="B73" i="1" s="1"/>
  <c r="B53" i="1"/>
  <c r="F64" i="1"/>
  <c r="F53" i="1"/>
  <c r="B65" i="1"/>
  <c r="F44" i="1"/>
  <c r="F54" i="1"/>
  <c r="F65" i="1"/>
  <c r="B34" i="1"/>
  <c r="B54" i="1"/>
  <c r="B55" i="1"/>
  <c r="B45" i="1"/>
  <c r="B44" i="1"/>
  <c r="B66" i="1"/>
  <c r="F47" i="1"/>
  <c r="F69" i="1"/>
  <c r="F58" i="1"/>
  <c r="F46" i="1"/>
  <c r="F48" i="1" s="1"/>
  <c r="F68" i="1"/>
  <c r="F57" i="1"/>
  <c r="F70" i="1" l="1"/>
  <c r="C44" i="1"/>
  <c r="F5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2" authorId="0" shapeId="0" xr:uid="{00000000-0006-0000-0000-000001000000}">
      <text>
        <r>
          <rPr>
            <b/>
            <sz val="9"/>
            <color rgb="FF000000"/>
            <rFont val="Times New Roman"/>
            <family val="1"/>
          </rPr>
          <t>user:</t>
        </r>
        <r>
          <rPr>
            <sz val="9"/>
            <color rgb="FF000000"/>
            <rFont val="Times New Roman"/>
            <family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<sst xmlns="http://schemas.openxmlformats.org/spreadsheetml/2006/main" count="114" uniqueCount="70">
  <si>
    <t>GENERAL</t>
  </si>
  <si>
    <t>HISGC ONLINE BUS FARE CALCULATOR</t>
  </si>
  <si>
    <t>Manual inputs</t>
  </si>
  <si>
    <t>System commission pesentage</t>
  </si>
  <si>
    <t>Type Fare</t>
  </si>
  <si>
    <t>Service fee percentage</t>
  </si>
  <si>
    <t>Choose one</t>
  </si>
  <si>
    <t>safiri salama domestic cover days</t>
  </si>
  <si>
    <t>Service fee adding figure</t>
  </si>
  <si>
    <t>Safiri salama foreign cover days</t>
  </si>
  <si>
    <t>Vendor percentage</t>
  </si>
  <si>
    <t>M-Pesa Tarrifs</t>
  </si>
  <si>
    <t>Number of seats</t>
  </si>
  <si>
    <t>Mixx by Yas Tarrifs</t>
  </si>
  <si>
    <t>System commission adding figure</t>
  </si>
  <si>
    <t>Airtel Money Taffifs</t>
  </si>
  <si>
    <t>Fare set by LATRA</t>
  </si>
  <si>
    <t>hii itatokana na settings kulingana na regulation za LATRA</t>
  </si>
  <si>
    <t>Cancellation fees percentage</t>
  </si>
  <si>
    <t>Hii  inategemea na muda aliocancell kabla ya safari. nadhani mliishaweka logic</t>
  </si>
  <si>
    <t>ADMIN PANEL</t>
  </si>
  <si>
    <t>Total fare (Levy inclussive)</t>
  </si>
  <si>
    <t>Toal fare (Levy exclussive)</t>
  </si>
  <si>
    <t>Output</t>
  </si>
  <si>
    <t xml:space="preserve">System commission total </t>
  </si>
  <si>
    <t>Traveller calculator</t>
  </si>
  <si>
    <t>Service fees</t>
  </si>
  <si>
    <t>Bus Fare</t>
  </si>
  <si>
    <t>Commission to vendor</t>
  </si>
  <si>
    <t>Service Fees</t>
  </si>
  <si>
    <t>Service fees to vendor</t>
  </si>
  <si>
    <t>Safiri Salama - Domestic</t>
  </si>
  <si>
    <t>System commission Remainder</t>
  </si>
  <si>
    <t>Safiri Salama - Foreign</t>
  </si>
  <si>
    <t>Bus fare remainder</t>
  </si>
  <si>
    <t>Government levies on Fare</t>
  </si>
  <si>
    <t>Amount on bus owner formular</t>
  </si>
  <si>
    <t>Government levies on service fee</t>
  </si>
  <si>
    <t>Total Goverment levies</t>
  </si>
  <si>
    <t>CALCULAtions for VENDOR PANEL</t>
  </si>
  <si>
    <t>Total to pay</t>
  </si>
  <si>
    <t>Income from commission</t>
  </si>
  <si>
    <t>Incomme from service fees</t>
  </si>
  <si>
    <t>Inside formulars</t>
  </si>
  <si>
    <t>Total income</t>
  </si>
  <si>
    <t>Safiri salama - Domestic</t>
  </si>
  <si>
    <t>CALCULATIONS FOR BUS OWNER PANEL</t>
  </si>
  <si>
    <t>Safiri salama - Foreign</t>
  </si>
  <si>
    <t>Bus fare</t>
  </si>
  <si>
    <t>System commission</t>
  </si>
  <si>
    <t>Seat value</t>
  </si>
  <si>
    <t>Government levies</t>
  </si>
  <si>
    <t>System calculator</t>
  </si>
  <si>
    <t>Service fee</t>
  </si>
  <si>
    <t>TICKET PURCHASED DIRECTLY BY END USER WITHOUT INSURANCE</t>
  </si>
  <si>
    <t>TICKET PURCHASED  BY VENDOR WITHOUT INSURANCE</t>
  </si>
  <si>
    <t>Bus owner share</t>
  </si>
  <si>
    <t>Highlink share</t>
  </si>
  <si>
    <t>Service fee to vendor</t>
  </si>
  <si>
    <t>Vendor share</t>
  </si>
  <si>
    <t>TICKET PURCHASED DIRECTLY BY END USER WITH INLAND INSURANCE</t>
  </si>
  <si>
    <t>TICKET PURCHASED  BY VENDOR WITH INLAND INSURANCE</t>
  </si>
  <si>
    <t>Safiri salama Inland insurance</t>
  </si>
  <si>
    <t>Safiri salama - domestic</t>
  </si>
  <si>
    <t>TICKET PURCHASED DIRECTLY BY END USER WITH INTERNATIONAL INSURANCE</t>
  </si>
  <si>
    <t>TICKET PURCHASED  BY VENDOR WITH INTERNATIONAL INSURANCE</t>
  </si>
  <si>
    <t>Safiri salama International insurance</t>
  </si>
  <si>
    <t>Safiri salama - International</t>
  </si>
  <si>
    <t>CANCELLATION FEES</t>
  </si>
  <si>
    <t>REFUND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</si>
</sst>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_ * #,##0.00_ ;_ * \-#,##0.00_ ;_ * &quot;-&quot;??_ ;_ @_ "/>
  </numFmts>
  <fonts count="5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164" fontId="2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>
      <alignment vertical="center"/>
    </xf>
    <xf numFmtId="0" fontId="1" fillId="0" borderId="2" xfId="0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64" fontId="0" fillId="0" borderId="5" xfId="1" applyFont="1" applyBorder="1">
      <alignment vertical="center"/>
    </xf>
    <xf numFmtId="164" fontId="0" fillId="0" borderId="0" xfId="1" applyFont="1">
      <alignment vertical="center"/>
    </xf>
    <xf numFmtId="0" fontId="1" fillId="0" borderId="4" xfId="0" applyFon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1" fillId="0" borderId="1" xfId="0" applyFont="1" applyBorder="1">
      <alignment vertical="center"/>
    </xf>
    <xf numFmtId="164" fontId="0" fillId="0" borderId="5" xfId="0" applyNumberFormat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164" fontId="0" fillId="0" borderId="10" xfId="0" applyNumberFormat="1" applyBorder="1">
      <alignment vertical="center"/>
    </xf>
    <xf numFmtId="164" fontId="0" fillId="0" borderId="6" xfId="1" applyFont="1" applyBorder="1">
      <alignment vertical="center"/>
    </xf>
    <xf numFmtId="164" fontId="0" fillId="0" borderId="0" xfId="0" applyNumberFormat="1">
      <alignment vertical="center"/>
    </xf>
    <xf numFmtId="43" fontId="0" fillId="0" borderId="0" xfId="0" applyNumberFormat="1">
      <alignment vertical="center"/>
    </xf>
  </cellXfs>
  <cellStyles count="2">
    <cellStyle name="Comma" xfId="1" builtinId="3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tabSelected="1" zoomScale="185" workbookViewId="0">
      <selection activeCell="B16" sqref="B16"/>
    </sheetView>
  </sheetViews>
  <sheetFormatPr baseColWidth="10" defaultColWidth="9.1640625" defaultRowHeight="15" x14ac:dyDescent="0.2"/>
  <cols>
    <col min="1" max="1" width="30.6640625" customWidth="1"/>
    <col min="2" max="3" width="12.83203125"/>
    <col min="4" max="4" width="12.83203125" customWidth="1"/>
    <col min="5" max="5" width="30.5" customWidth="1"/>
    <col min="6" max="6" width="12.83203125"/>
  </cols>
  <sheetData>
    <row r="1" spans="1:6" x14ac:dyDescent="0.2">
      <c r="A1" s="1" t="s">
        <v>0</v>
      </c>
      <c r="E1" s="1" t="s">
        <v>1</v>
      </c>
    </row>
    <row r="2" spans="1:6" x14ac:dyDescent="0.2">
      <c r="D2" s="2"/>
      <c r="E2" s="3" t="s">
        <v>2</v>
      </c>
      <c r="F2" s="4"/>
    </row>
    <row r="3" spans="1:6" x14ac:dyDescent="0.2">
      <c r="A3" t="s">
        <v>3</v>
      </c>
      <c r="B3">
        <f>5/100</f>
        <v>0.05</v>
      </c>
      <c r="D3" s="5"/>
      <c r="E3" t="s">
        <v>4</v>
      </c>
      <c r="F3" s="6">
        <v>1000</v>
      </c>
    </row>
    <row r="4" spans="1:6" x14ac:dyDescent="0.2">
      <c r="A4" t="s">
        <v>5</v>
      </c>
      <c r="B4" s="7">
        <f>2/100</f>
        <v>0.02</v>
      </c>
      <c r="C4" s="7"/>
      <c r="D4" s="8" t="s">
        <v>6</v>
      </c>
      <c r="E4" t="s">
        <v>7</v>
      </c>
      <c r="F4" s="9">
        <v>1</v>
      </c>
    </row>
    <row r="5" spans="1:6" x14ac:dyDescent="0.2">
      <c r="A5" t="s">
        <v>8</v>
      </c>
      <c r="B5" s="7">
        <v>100</v>
      </c>
      <c r="C5" s="7"/>
      <c r="D5" s="5"/>
      <c r="E5" t="s">
        <v>9</v>
      </c>
      <c r="F5" s="9">
        <v>1</v>
      </c>
    </row>
    <row r="6" spans="1:6" x14ac:dyDescent="0.2">
      <c r="A6" t="s">
        <v>10</v>
      </c>
      <c r="B6" s="7">
        <v>0.1</v>
      </c>
      <c r="C6" s="7"/>
      <c r="D6" s="8" t="s">
        <v>6</v>
      </c>
      <c r="E6" t="s">
        <v>11</v>
      </c>
      <c r="F6" s="9"/>
    </row>
    <row r="7" spans="1:6" x14ac:dyDescent="0.2">
      <c r="A7" t="s">
        <v>12</v>
      </c>
      <c r="B7">
        <v>2</v>
      </c>
      <c r="D7" s="5"/>
      <c r="E7" t="s">
        <v>13</v>
      </c>
      <c r="F7" s="9"/>
    </row>
    <row r="8" spans="1:6" x14ac:dyDescent="0.2">
      <c r="A8" t="s">
        <v>14</v>
      </c>
      <c r="B8" s="7">
        <v>0</v>
      </c>
      <c r="C8" s="7"/>
      <c r="D8" s="5"/>
      <c r="E8" t="s">
        <v>15</v>
      </c>
      <c r="F8" s="9"/>
    </row>
    <row r="9" spans="1:6" x14ac:dyDescent="0.2">
      <c r="A9" t="s">
        <v>16</v>
      </c>
      <c r="B9" s="7">
        <v>1000</v>
      </c>
      <c r="C9" s="7" t="s">
        <v>17</v>
      </c>
      <c r="D9" s="10"/>
      <c r="E9" s="10"/>
      <c r="F9" s="10"/>
    </row>
    <row r="10" spans="1:6" x14ac:dyDescent="0.2">
      <c r="A10" t="s">
        <v>18</v>
      </c>
      <c r="B10" s="7">
        <f>10/100</f>
        <v>0.1</v>
      </c>
      <c r="C10" s="7" t="s">
        <v>19</v>
      </c>
    </row>
    <row r="11" spans="1:6" x14ac:dyDescent="0.2">
      <c r="B11" s="7"/>
      <c r="C11" s="7"/>
    </row>
    <row r="12" spans="1:6" x14ac:dyDescent="0.2">
      <c r="A12" t="s">
        <v>20</v>
      </c>
      <c r="B12" s="7"/>
      <c r="C12" s="7"/>
    </row>
    <row r="13" spans="1:6" x14ac:dyDescent="0.2">
      <c r="A13" t="s">
        <v>21</v>
      </c>
      <c r="B13" s="7">
        <f>B9*B7</f>
        <v>2000</v>
      </c>
      <c r="C13" s="7"/>
    </row>
    <row r="14" spans="1:6" x14ac:dyDescent="0.2">
      <c r="A14" t="s">
        <v>22</v>
      </c>
      <c r="B14" s="7">
        <f>B13-B21</f>
        <v>1900</v>
      </c>
      <c r="C14" s="7"/>
      <c r="E14" s="11" t="s">
        <v>23</v>
      </c>
      <c r="F14" s="4"/>
    </row>
    <row r="15" spans="1:6" x14ac:dyDescent="0.2">
      <c r="A15" t="s">
        <v>24</v>
      </c>
      <c r="B15" s="7">
        <f>(B13*B3)*B7+(B8)</f>
        <v>200</v>
      </c>
      <c r="C15" s="7"/>
      <c r="E15" s="8" t="s">
        <v>25</v>
      </c>
      <c r="F15" s="9"/>
    </row>
    <row r="16" spans="1:6" x14ac:dyDescent="0.2">
      <c r="A16" t="s">
        <v>26</v>
      </c>
      <c r="B16" s="7">
        <f>(B13*B4)*B7+(B5)</f>
        <v>180</v>
      </c>
      <c r="C16" s="7"/>
      <c r="E16" s="5" t="s">
        <v>27</v>
      </c>
      <c r="F16" s="12">
        <f>F3</f>
        <v>1000</v>
      </c>
    </row>
    <row r="17" spans="1:6" x14ac:dyDescent="0.2">
      <c r="A17" t="s">
        <v>28</v>
      </c>
      <c r="B17" s="7">
        <f>B15*B6</f>
        <v>20</v>
      </c>
      <c r="C17" s="7"/>
      <c r="E17" s="5" t="s">
        <v>29</v>
      </c>
      <c r="F17" s="12">
        <f>F29*B4+B5</f>
        <v>100</v>
      </c>
    </row>
    <row r="18" spans="1:6" x14ac:dyDescent="0.2">
      <c r="A18" t="s">
        <v>30</v>
      </c>
      <c r="B18" s="7">
        <f>B16*B6</f>
        <v>18</v>
      </c>
      <c r="C18" s="7"/>
      <c r="E18" s="5" t="s">
        <v>31</v>
      </c>
      <c r="F18" s="12">
        <f>F30*F4</f>
        <v>100</v>
      </c>
    </row>
    <row r="19" spans="1:6" x14ac:dyDescent="0.2">
      <c r="A19" t="s">
        <v>32</v>
      </c>
      <c r="B19" s="7">
        <f>B15-B17</f>
        <v>180</v>
      </c>
      <c r="C19" s="7"/>
      <c r="E19" s="5" t="s">
        <v>33</v>
      </c>
      <c r="F19" s="12">
        <f>F31*F5</f>
        <v>200</v>
      </c>
    </row>
    <row r="20" spans="1:6" x14ac:dyDescent="0.2">
      <c r="A20" t="s">
        <v>34</v>
      </c>
      <c r="B20" s="7">
        <f>(B13-(B15+B21))</f>
        <v>1700</v>
      </c>
      <c r="C20" s="7"/>
      <c r="E20" s="5" t="s">
        <v>11</v>
      </c>
      <c r="F20" s="9"/>
    </row>
    <row r="21" spans="1:6" x14ac:dyDescent="0.2">
      <c r="A21" t="s">
        <v>35</v>
      </c>
      <c r="B21" s="7">
        <f>(5/100*B13)</f>
        <v>100</v>
      </c>
      <c r="C21" s="7"/>
      <c r="E21" s="5" t="s">
        <v>13</v>
      </c>
      <c r="F21" s="9"/>
    </row>
    <row r="22" spans="1:6" x14ac:dyDescent="0.2">
      <c r="A22" t="s">
        <v>36</v>
      </c>
      <c r="B22" s="7">
        <f>B8*B7</f>
        <v>0</v>
      </c>
      <c r="C22" s="7"/>
      <c r="E22" s="5" t="s">
        <v>15</v>
      </c>
      <c r="F22" s="9"/>
    </row>
    <row r="23" spans="1:6" x14ac:dyDescent="0.2">
      <c r="A23" t="s">
        <v>37</v>
      </c>
      <c r="B23" s="7">
        <f>5/100*B16</f>
        <v>9</v>
      </c>
      <c r="C23" s="7"/>
      <c r="E23" s="13"/>
      <c r="F23" s="14"/>
    </row>
    <row r="24" spans="1:6" x14ac:dyDescent="0.2">
      <c r="A24" t="s">
        <v>38</v>
      </c>
      <c r="B24" s="7">
        <f>B21+B23</f>
        <v>109</v>
      </c>
      <c r="C24" s="7"/>
      <c r="E24" s="13"/>
      <c r="F24" s="14"/>
    </row>
    <row r="25" spans="1:6" x14ac:dyDescent="0.2">
      <c r="B25" s="7"/>
      <c r="C25" s="7"/>
      <c r="E25" s="13"/>
      <c r="F25" s="14"/>
    </row>
    <row r="26" spans="1:6" x14ac:dyDescent="0.2">
      <c r="A26" t="s">
        <v>39</v>
      </c>
      <c r="B26" s="7"/>
      <c r="C26" s="7"/>
      <c r="E26" s="15" t="s">
        <v>40</v>
      </c>
      <c r="F26" s="16">
        <f>SUM(F16:F23)</f>
        <v>1400</v>
      </c>
    </row>
    <row r="27" spans="1:6" x14ac:dyDescent="0.2">
      <c r="A27" t="s">
        <v>41</v>
      </c>
      <c r="B27" s="7">
        <f>B15*B6</f>
        <v>20</v>
      </c>
      <c r="C27" s="7"/>
    </row>
    <row r="28" spans="1:6" x14ac:dyDescent="0.2">
      <c r="A28" t="s">
        <v>42</v>
      </c>
      <c r="B28" s="7">
        <f>B16*B6</f>
        <v>18</v>
      </c>
      <c r="C28" s="7"/>
      <c r="E28" s="1" t="s">
        <v>43</v>
      </c>
    </row>
    <row r="29" spans="1:6" x14ac:dyDescent="0.2">
      <c r="A29" t="s">
        <v>44</v>
      </c>
      <c r="B29" s="17">
        <f>SUM(B27:B28)</f>
        <v>38</v>
      </c>
      <c r="C29" s="7"/>
      <c r="F29" s="18"/>
    </row>
    <row r="30" spans="1:6" x14ac:dyDescent="0.2">
      <c r="B30" s="7"/>
      <c r="C30" s="7"/>
      <c r="E30" t="s">
        <v>45</v>
      </c>
      <c r="F30" s="7">
        <f>100</f>
        <v>100</v>
      </c>
    </row>
    <row r="31" spans="1:6" x14ac:dyDescent="0.2">
      <c r="A31" t="s">
        <v>46</v>
      </c>
      <c r="B31" s="7"/>
      <c r="C31" s="7"/>
      <c r="E31" t="s">
        <v>47</v>
      </c>
      <c r="F31" s="7">
        <f>200</f>
        <v>200</v>
      </c>
    </row>
    <row r="32" spans="1:6" x14ac:dyDescent="0.2">
      <c r="A32" t="s">
        <v>48</v>
      </c>
      <c r="B32" s="7">
        <f>B13</f>
        <v>2000</v>
      </c>
      <c r="C32" s="7"/>
      <c r="E32" t="s">
        <v>11</v>
      </c>
      <c r="F32" s="7"/>
    </row>
    <row r="33" spans="1:6" x14ac:dyDescent="0.2">
      <c r="A33" t="s">
        <v>49</v>
      </c>
      <c r="B33" s="7">
        <f>B13*B3+B8</f>
        <v>100</v>
      </c>
      <c r="C33" s="7"/>
      <c r="E33" t="s">
        <v>13</v>
      </c>
      <c r="F33" s="7"/>
    </row>
    <row r="34" spans="1:6" x14ac:dyDescent="0.2">
      <c r="A34" t="s">
        <v>50</v>
      </c>
      <c r="B34" s="17">
        <f>B32-B33-B35</f>
        <v>1800</v>
      </c>
      <c r="C34" s="7"/>
      <c r="E34" t="s">
        <v>15</v>
      </c>
      <c r="F34" s="7"/>
    </row>
    <row r="35" spans="1:6" x14ac:dyDescent="0.2">
      <c r="A35" t="s">
        <v>51</v>
      </c>
      <c r="B35" s="18">
        <f>5/100*B32</f>
        <v>100</v>
      </c>
      <c r="C35" s="18"/>
    </row>
    <row r="37" spans="1:6" x14ac:dyDescent="0.2">
      <c r="A37" t="s">
        <v>52</v>
      </c>
    </row>
    <row r="38" spans="1:6" x14ac:dyDescent="0.2">
      <c r="A38" t="s">
        <v>53</v>
      </c>
      <c r="B38" s="18">
        <f>(B14*B4)+100</f>
        <v>138</v>
      </c>
      <c r="C38" s="18"/>
    </row>
    <row r="40" spans="1:6" x14ac:dyDescent="0.2">
      <c r="A40" s="1" t="s">
        <v>54</v>
      </c>
      <c r="E40" s="1" t="s">
        <v>55</v>
      </c>
    </row>
    <row r="41" spans="1:6" x14ac:dyDescent="0.2">
      <c r="A41" t="s">
        <v>49</v>
      </c>
      <c r="B41" s="18">
        <f>B15</f>
        <v>200</v>
      </c>
      <c r="E41" t="s">
        <v>49</v>
      </c>
      <c r="F41" s="18">
        <f>B15</f>
        <v>200</v>
      </c>
    </row>
    <row r="42" spans="1:6" x14ac:dyDescent="0.2">
      <c r="A42" t="s">
        <v>26</v>
      </c>
      <c r="B42" s="18">
        <f>B16</f>
        <v>180</v>
      </c>
      <c r="E42" t="s">
        <v>26</v>
      </c>
      <c r="F42" s="18">
        <f>B16</f>
        <v>180</v>
      </c>
    </row>
    <row r="43" spans="1:6" x14ac:dyDescent="0.2">
      <c r="A43" t="s">
        <v>51</v>
      </c>
      <c r="B43" s="18">
        <f>B24</f>
        <v>109</v>
      </c>
      <c r="E43" t="s">
        <v>51</v>
      </c>
      <c r="F43" s="18">
        <f>B24</f>
        <v>109</v>
      </c>
    </row>
    <row r="44" spans="1:6" x14ac:dyDescent="0.2">
      <c r="A44" t="s">
        <v>56</v>
      </c>
      <c r="B44" s="18">
        <f>B13-B41-B35</f>
        <v>1700</v>
      </c>
      <c r="C44" s="19">
        <f>B44+B43+B45</f>
        <v>2189</v>
      </c>
      <c r="E44" t="s">
        <v>56</v>
      </c>
      <c r="F44" s="18">
        <f>B13-B15-B35</f>
        <v>1700</v>
      </c>
    </row>
    <row r="45" spans="1:6" x14ac:dyDescent="0.2">
      <c r="A45" t="s">
        <v>57</v>
      </c>
      <c r="B45" s="18">
        <f>B41+B42</f>
        <v>380</v>
      </c>
      <c r="E45" t="s">
        <v>57</v>
      </c>
      <c r="F45" s="18">
        <f>(F41+F42)-(B17+B18)</f>
        <v>342</v>
      </c>
    </row>
    <row r="46" spans="1:6" x14ac:dyDescent="0.2">
      <c r="B46" s="18"/>
      <c r="E46" t="s">
        <v>28</v>
      </c>
      <c r="F46" s="18">
        <f>B17</f>
        <v>20</v>
      </c>
    </row>
    <row r="47" spans="1:6" x14ac:dyDescent="0.2">
      <c r="B47" s="18"/>
      <c r="E47" t="s">
        <v>58</v>
      </c>
      <c r="F47" s="18">
        <f>B18</f>
        <v>18</v>
      </c>
    </row>
    <row r="48" spans="1:6" x14ac:dyDescent="0.2">
      <c r="B48" s="18"/>
      <c r="E48" t="s">
        <v>59</v>
      </c>
      <c r="F48" s="18">
        <f>F46+F47</f>
        <v>38</v>
      </c>
    </row>
    <row r="50" spans="1:6" x14ac:dyDescent="0.2">
      <c r="A50" s="1" t="s">
        <v>60</v>
      </c>
      <c r="E50" s="1" t="s">
        <v>61</v>
      </c>
    </row>
    <row r="51" spans="1:6" x14ac:dyDescent="0.2">
      <c r="A51" t="s">
        <v>49</v>
      </c>
      <c r="B51" s="18">
        <f>B15</f>
        <v>200</v>
      </c>
      <c r="E51" t="s">
        <v>49</v>
      </c>
      <c r="F51" s="18">
        <f>B15</f>
        <v>200</v>
      </c>
    </row>
    <row r="52" spans="1:6" x14ac:dyDescent="0.2">
      <c r="A52" t="s">
        <v>26</v>
      </c>
      <c r="B52" s="18">
        <f>B16</f>
        <v>180</v>
      </c>
      <c r="E52" t="s">
        <v>26</v>
      </c>
      <c r="F52" s="18">
        <f>B16</f>
        <v>180</v>
      </c>
    </row>
    <row r="53" spans="1:6" x14ac:dyDescent="0.2">
      <c r="A53" t="s">
        <v>51</v>
      </c>
      <c r="B53" s="18">
        <f>B24</f>
        <v>109</v>
      </c>
      <c r="E53" t="s">
        <v>51</v>
      </c>
      <c r="F53" s="18">
        <f>B24</f>
        <v>109</v>
      </c>
    </row>
    <row r="54" spans="1:6" x14ac:dyDescent="0.2">
      <c r="A54" t="s">
        <v>56</v>
      </c>
      <c r="B54" s="18">
        <f>B13-B15-B35</f>
        <v>1700</v>
      </c>
      <c r="E54" t="s">
        <v>56</v>
      </c>
      <c r="F54" s="18">
        <f>B13-B15-B35</f>
        <v>1700</v>
      </c>
    </row>
    <row r="55" spans="1:6" x14ac:dyDescent="0.2">
      <c r="A55" t="s">
        <v>57</v>
      </c>
      <c r="B55" s="18">
        <f>B51+B52</f>
        <v>380</v>
      </c>
      <c r="E55" t="s">
        <v>57</v>
      </c>
      <c r="F55" s="18">
        <f>F51+F52</f>
        <v>380</v>
      </c>
    </row>
    <row r="56" spans="1:6" x14ac:dyDescent="0.2">
      <c r="A56" t="s">
        <v>62</v>
      </c>
      <c r="B56" s="18">
        <f>F30*F4*B7</f>
        <v>200</v>
      </c>
      <c r="E56" t="s">
        <v>63</v>
      </c>
      <c r="F56" s="18">
        <f>F18</f>
        <v>100</v>
      </c>
    </row>
    <row r="57" spans="1:6" x14ac:dyDescent="0.2">
      <c r="B57" s="18"/>
      <c r="E57" t="s">
        <v>28</v>
      </c>
      <c r="F57" s="18">
        <f>B17</f>
        <v>20</v>
      </c>
    </row>
    <row r="58" spans="1:6" x14ac:dyDescent="0.2">
      <c r="B58" s="18"/>
      <c r="E58" t="s">
        <v>30</v>
      </c>
      <c r="F58" s="18">
        <f>B18</f>
        <v>18</v>
      </c>
    </row>
    <row r="59" spans="1:6" x14ac:dyDescent="0.2">
      <c r="B59" s="18"/>
      <c r="E59" t="s">
        <v>59</v>
      </c>
      <c r="F59" s="18">
        <f>F57+F58</f>
        <v>38</v>
      </c>
    </row>
    <row r="60" spans="1:6" x14ac:dyDescent="0.2">
      <c r="E60" t="s">
        <v>31</v>
      </c>
      <c r="F60">
        <f>F30*F4*B7</f>
        <v>200</v>
      </c>
    </row>
    <row r="61" spans="1:6" x14ac:dyDescent="0.2">
      <c r="A61" s="1" t="s">
        <v>64</v>
      </c>
      <c r="E61" s="1" t="s">
        <v>65</v>
      </c>
    </row>
    <row r="62" spans="1:6" x14ac:dyDescent="0.2">
      <c r="A62" t="s">
        <v>49</v>
      </c>
      <c r="B62" s="18">
        <f>B15</f>
        <v>200</v>
      </c>
      <c r="E62" t="s">
        <v>49</v>
      </c>
      <c r="F62" s="18">
        <f>B15</f>
        <v>200</v>
      </c>
    </row>
    <row r="63" spans="1:6" x14ac:dyDescent="0.2">
      <c r="A63" t="s">
        <v>26</v>
      </c>
      <c r="B63" s="18">
        <f>B16</f>
        <v>180</v>
      </c>
      <c r="E63" t="s">
        <v>26</v>
      </c>
      <c r="F63" s="18">
        <f>B16</f>
        <v>180</v>
      </c>
    </row>
    <row r="64" spans="1:6" x14ac:dyDescent="0.2">
      <c r="A64" t="s">
        <v>51</v>
      </c>
      <c r="B64" s="18">
        <f>B24</f>
        <v>109</v>
      </c>
      <c r="E64" t="s">
        <v>51</v>
      </c>
      <c r="F64" s="18">
        <f>B24</f>
        <v>109</v>
      </c>
    </row>
    <row r="65" spans="1:6" x14ac:dyDescent="0.2">
      <c r="A65" t="s">
        <v>56</v>
      </c>
      <c r="B65" s="18">
        <f>B13-B15-B35</f>
        <v>1700</v>
      </c>
      <c r="E65" t="s">
        <v>56</v>
      </c>
      <c r="F65" s="18">
        <f>B13-B15-B35</f>
        <v>1700</v>
      </c>
    </row>
    <row r="66" spans="1:6" x14ac:dyDescent="0.2">
      <c r="A66" t="s">
        <v>57</v>
      </c>
      <c r="B66" s="18">
        <f>B62+B63</f>
        <v>380</v>
      </c>
      <c r="E66" t="s">
        <v>57</v>
      </c>
      <c r="F66" s="18">
        <f>F62+F63</f>
        <v>380</v>
      </c>
    </row>
    <row r="67" spans="1:6" x14ac:dyDescent="0.2">
      <c r="A67" t="s">
        <v>66</v>
      </c>
      <c r="B67" s="18">
        <f>F31*F5*B7</f>
        <v>400</v>
      </c>
      <c r="E67" t="s">
        <v>66</v>
      </c>
      <c r="F67" s="18">
        <f>F31</f>
        <v>200</v>
      </c>
    </row>
    <row r="68" spans="1:6" x14ac:dyDescent="0.2">
      <c r="E68" t="s">
        <v>28</v>
      </c>
      <c r="F68" s="18">
        <f>B17</f>
        <v>20</v>
      </c>
    </row>
    <row r="69" spans="1:6" x14ac:dyDescent="0.2">
      <c r="E69" t="s">
        <v>30</v>
      </c>
      <c r="F69" s="18">
        <f>B18</f>
        <v>18</v>
      </c>
    </row>
    <row r="70" spans="1:6" x14ac:dyDescent="0.2">
      <c r="E70" t="s">
        <v>59</v>
      </c>
      <c r="F70" s="18">
        <f>F68+F69</f>
        <v>38</v>
      </c>
    </row>
    <row r="71" spans="1:6" x14ac:dyDescent="0.2">
      <c r="E71" t="s">
        <v>67</v>
      </c>
      <c r="F71" s="18">
        <f>F31*F5*B7</f>
        <v>400</v>
      </c>
    </row>
    <row r="72" spans="1:6" x14ac:dyDescent="0.2">
      <c r="A72" s="1" t="s">
        <v>68</v>
      </c>
      <c r="B72" s="18">
        <f>B13*B10</f>
        <v>200</v>
      </c>
    </row>
    <row r="73" spans="1:6" x14ac:dyDescent="0.2">
      <c r="A73" s="1" t="s">
        <v>69</v>
      </c>
      <c r="B73" s="18">
        <f>B13-(B64+B62)</f>
        <v>1691</v>
      </c>
    </row>
  </sheetData>
  <autoFilter ref="A1:B24" xr:uid="{00000000-0009-0000-0000-000000000000}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Abdul Bunju</cp:lastModifiedBy>
  <dcterms:created xsi:type="dcterms:W3CDTF">2025-06-21T16:05:00Z</dcterms:created>
  <dcterms:modified xsi:type="dcterms:W3CDTF">2026-05-23T22:12:22Z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B67970BE962749179874368D513F2EBB_13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